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D6" i="1" l="1"/>
  <c r="I20" i="1" l="1"/>
  <c r="H20" i="1"/>
  <c r="G20" i="1"/>
  <c r="F20" i="1"/>
  <c r="E20" i="1"/>
  <c r="C20" i="1"/>
  <c r="D19" i="1"/>
  <c r="J19" i="1" s="1"/>
  <c r="J18" i="1"/>
  <c r="D18" i="1"/>
  <c r="D17" i="1"/>
  <c r="J17" i="1" s="1"/>
  <c r="J16" i="1"/>
  <c r="D16" i="1"/>
  <c r="D15" i="1"/>
  <c r="J15" i="1" s="1"/>
  <c r="J14" i="1"/>
  <c r="D14" i="1"/>
  <c r="J13" i="1"/>
  <c r="K13" i="1" s="1"/>
  <c r="D12" i="1"/>
  <c r="J12" i="1" s="1"/>
  <c r="D11" i="1"/>
  <c r="J11" i="1" s="1"/>
  <c r="D10" i="1"/>
  <c r="J10" i="1" s="1"/>
  <c r="D9" i="1"/>
  <c r="J9" i="1" s="1"/>
  <c r="D8" i="1"/>
  <c r="J8" i="1" s="1"/>
  <c r="D7" i="1"/>
  <c r="J7" i="1" s="1"/>
  <c r="J6" i="1"/>
  <c r="J5" i="1"/>
  <c r="L5" i="1" s="1"/>
  <c r="L18" i="1" l="1"/>
  <c r="L14" i="1"/>
  <c r="L16" i="1"/>
  <c r="L6" i="1"/>
  <c r="K6" i="1"/>
  <c r="K19" i="1"/>
  <c r="L19" i="1"/>
  <c r="L7" i="1"/>
  <c r="K7" i="1"/>
  <c r="L8" i="1"/>
  <c r="K8" i="1"/>
  <c r="K15" i="1"/>
  <c r="L15" i="1"/>
  <c r="L9" i="1"/>
  <c r="K9" i="1"/>
  <c r="L10" i="1"/>
  <c r="K10" i="1"/>
  <c r="L11" i="1"/>
  <c r="K11" i="1"/>
  <c r="K17" i="1"/>
  <c r="L17" i="1"/>
  <c r="L12" i="1"/>
  <c r="K12" i="1"/>
  <c r="K16" i="1"/>
  <c r="K5" i="1"/>
  <c r="L13" i="1"/>
  <c r="J20" i="1"/>
  <c r="D20" i="1"/>
  <c r="K14" i="1"/>
  <c r="K18" i="1"/>
  <c r="K20" i="1" l="1"/>
</calcChain>
</file>

<file path=xl/sharedStrings.xml><?xml version="1.0" encoding="utf-8"?>
<sst xmlns="http://schemas.openxmlformats.org/spreadsheetml/2006/main" count="50" uniqueCount="46">
  <si>
    <t>SPM SMART SCHOOL</t>
  </si>
  <si>
    <t>HALF YEARLY EXAMINATION - ACADEMIC SESSION 2026-27 | CLASS: CLASS II</t>
  </si>
  <si>
    <t>Roll No</t>
  </si>
  <si>
    <t>Student Name</t>
  </si>
  <si>
    <t>English</t>
  </si>
  <si>
    <t>Maths</t>
  </si>
  <si>
    <t>Science</t>
  </si>
  <si>
    <t>SST</t>
  </si>
  <si>
    <t>Computer</t>
  </si>
  <si>
    <t>Grammar</t>
  </si>
  <si>
    <t>GK</t>
  </si>
  <si>
    <t>Total Marks</t>
  </si>
  <si>
    <t>%age</t>
  </si>
  <si>
    <t>Rank</t>
  </si>
  <si>
    <t>1</t>
  </si>
  <si>
    <t>Sabira Anjum</t>
  </si>
  <si>
    <t>2</t>
  </si>
  <si>
    <t>Mujakkir Hussain</t>
  </si>
  <si>
    <t>3</t>
  </si>
  <si>
    <t>Minhaj Ali</t>
  </si>
  <si>
    <t>4</t>
  </si>
  <si>
    <t>Jiyaan Gogoi</t>
  </si>
  <si>
    <t>5</t>
  </si>
  <si>
    <t>Abdul Hamid</t>
  </si>
  <si>
    <t>6</t>
  </si>
  <si>
    <t>Bashtab Gogoi</t>
  </si>
  <si>
    <t>7</t>
  </si>
  <si>
    <t>Pranjal Protim Phukan</t>
  </si>
  <si>
    <t>8</t>
  </si>
  <si>
    <t>Akib Zaman</t>
  </si>
  <si>
    <t>9</t>
  </si>
  <si>
    <t>Harshit K. Dowerah</t>
  </si>
  <si>
    <t>AB</t>
  </si>
  <si>
    <t>10</t>
  </si>
  <si>
    <t>Mayank Taparia</t>
  </si>
  <si>
    <t>11</t>
  </si>
  <si>
    <t>Samujjal Phukan</t>
  </si>
  <si>
    <t>12</t>
  </si>
  <si>
    <t>Gyandeep Boruah</t>
  </si>
  <si>
    <t>13</t>
  </si>
  <si>
    <t>Arhan Rohman</t>
  </si>
  <si>
    <t>14</t>
  </si>
  <si>
    <t>Sumita Payeng</t>
  </si>
  <si>
    <t>15</t>
  </si>
  <si>
    <t>Naitik Hazarika</t>
  </si>
  <si>
    <t>Class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</si>
</sst>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"/>
  </numFmts>
  <fonts count="6">
    <font>
      <sz val="11"/>
      <color theme="1"/>
      <name val="Calibri"/>
      <family val="2"/>
      <scheme val="minor"/>
    </font>
    <font>
      <b/>
      <sz val="16"/>
      <color rgb="FF1B365D"/>
      <name val="Calibri"/>
    </font>
    <font>
      <b/>
      <sz val="11"/>
      <color rgb="FF4B5563"/>
      <name val="Calibri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E8EEF5"/>
        <bgColor rgb="FFE8EEF5"/>
      </patternFill>
    </fill>
  </fills>
  <borders count="5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medium">
        <color rgb="FF1B365D"/>
      </top>
      <bottom style="medium">
        <color rgb="FF1B365D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1B365D"/>
      </top>
      <bottom style="double">
        <color rgb="FF1B365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2" xfId="0" quotePrefix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right" vertical="center"/>
    </xf>
    <xf numFmtId="164" fontId="4" fillId="3" borderId="2" xfId="0" applyNumberFormat="1" applyFont="1" applyFill="1" applyBorder="1" applyAlignment="1">
      <alignment horizontal="right" vertical="center"/>
    </xf>
    <xf numFmtId="0" fontId="4" fillId="4" borderId="2" xfId="0" quotePrefix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right" vertical="center"/>
    </xf>
    <xf numFmtId="164" fontId="4" fillId="4" borderId="2" xfId="0" applyNumberFormat="1" applyFont="1" applyFill="1" applyBorder="1" applyAlignment="1">
      <alignment horizontal="right" vertical="center"/>
    </xf>
    <xf numFmtId="0" fontId="0" fillId="0" borderId="3" xfId="0" applyBorder="1" applyAlignment="1">
      <alignment wrapText="1"/>
    </xf>
    <xf numFmtId="165" fontId="5" fillId="5" borderId="4" xfId="0" applyNumberFormat="1" applyFont="1" applyFill="1" applyBorder="1" applyAlignment="1">
      <alignment horizontal="center" vertical="center"/>
    </xf>
    <xf numFmtId="165" fontId="5" fillId="5" borderId="4" xfId="0" applyNumberFormat="1" applyFont="1" applyFill="1" applyBorder="1" applyAlignment="1">
      <alignment horizontal="right" vertical="center"/>
    </xf>
    <xf numFmtId="164" fontId="5" fillId="5" borderId="4" xfId="0" applyNumberFormat="1" applyFont="1" applyFill="1" applyBorder="1" applyAlignment="1">
      <alignment horizontal="right" vertical="center"/>
    </xf>
    <xf numFmtId="0" fontId="5" fillId="5" borderId="4" xfId="0" applyFont="1" applyFill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5" fillId="5" borderId="4" xfId="0" applyFont="1" applyFill="1" applyBorder="1" applyAlignment="1">
      <alignment horizontal="left" vertical="center"/>
    </xf>
    <xf numFmtId="0" fontId="5" fillId="5" borderId="4" xfId="0" applyFont="1" applyFill="1" applyBorder="1"/>
  </cellXfs>
  <cellStyles count="1">
    <cellStyle name="Normal" xfId="0" builtinId="0"/>
  </cellStyles>
  <dxfs count="1">
    <dxf>
      <font>
        <b/>
        <sz val="11"/>
        <color rgb="FF92400E"/>
        <name val="Calibri"/>
      </font>
      <fill>
        <patternFill patternType="solid">
          <fgColor rgb="FFFEF3C7"/>
          <bgColor rgb="FFFEF3C7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tabSelected="1" workbookViewId="0">
      <selection activeCell="C5" sqref="C5"/>
    </sheetView>
  </sheetViews>
  <sheetFormatPr defaultRowHeight="14.4"/>
  <cols>
    <col min="2" max="2" width="19" bestFit="1" customWidth="1"/>
  </cols>
  <sheetData>
    <row r="1" spans="1:12" ht="21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>
      <c r="A2" s="19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15" thickBot="1"/>
    <row r="4" spans="1:12" ht="15" thickBo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2" t="s">
        <v>14</v>
      </c>
      <c r="B5" s="3" t="s">
        <v>15</v>
      </c>
      <c r="C5" s="4"/>
      <c r="D5" s="4">
        <v>92</v>
      </c>
      <c r="E5" s="4"/>
      <c r="F5" s="4"/>
      <c r="G5" s="4">
        <v>81</v>
      </c>
      <c r="H5" s="4"/>
      <c r="I5" s="4">
        <v>46</v>
      </c>
      <c r="J5" s="5">
        <f t="shared" ref="J5:J19" si="0">SUM(C5:I5)</f>
        <v>219</v>
      </c>
      <c r="K5" s="6">
        <f t="shared" ref="K5:K19" si="1">J5/700</f>
        <v>0.31285714285714283</v>
      </c>
      <c r="L5" s="4">
        <f t="shared" ref="L5:L19" si="2">RANK(J5, $J$5:$J$19)</f>
        <v>2</v>
      </c>
    </row>
    <row r="6" spans="1:12">
      <c r="A6" s="7" t="s">
        <v>16</v>
      </c>
      <c r="B6" s="8" t="s">
        <v>17</v>
      </c>
      <c r="C6" s="9"/>
      <c r="D6" s="9">
        <f>66+20+9</f>
        <v>95</v>
      </c>
      <c r="E6" s="9"/>
      <c r="F6" s="9"/>
      <c r="G6" s="9">
        <v>68</v>
      </c>
      <c r="H6" s="9"/>
      <c r="I6" s="9">
        <v>44</v>
      </c>
      <c r="J6" s="10">
        <f t="shared" si="0"/>
        <v>207</v>
      </c>
      <c r="K6" s="11">
        <f t="shared" si="1"/>
        <v>0.29571428571428571</v>
      </c>
      <c r="L6" s="9">
        <f t="shared" si="2"/>
        <v>3</v>
      </c>
    </row>
    <row r="7" spans="1:12">
      <c r="A7" s="2" t="s">
        <v>18</v>
      </c>
      <c r="B7" s="3" t="s">
        <v>19</v>
      </c>
      <c r="C7" s="4"/>
      <c r="D7" s="4">
        <f>60+20</f>
        <v>80</v>
      </c>
      <c r="E7" s="4"/>
      <c r="F7" s="4"/>
      <c r="G7" s="4">
        <v>73</v>
      </c>
      <c r="H7" s="4"/>
      <c r="I7" s="4">
        <v>44</v>
      </c>
      <c r="J7" s="5">
        <f t="shared" si="0"/>
        <v>197</v>
      </c>
      <c r="K7" s="6">
        <f t="shared" si="1"/>
        <v>0.28142857142857142</v>
      </c>
      <c r="L7" s="4">
        <f t="shared" si="2"/>
        <v>4</v>
      </c>
    </row>
    <row r="8" spans="1:12">
      <c r="A8" s="7" t="s">
        <v>20</v>
      </c>
      <c r="B8" s="8" t="s">
        <v>21</v>
      </c>
      <c r="C8" s="9"/>
      <c r="D8" s="9">
        <f>65+20+9</f>
        <v>94</v>
      </c>
      <c r="E8" s="9"/>
      <c r="F8" s="9"/>
      <c r="G8" s="9">
        <v>92</v>
      </c>
      <c r="H8" s="9"/>
      <c r="I8" s="9">
        <v>47</v>
      </c>
      <c r="J8" s="10">
        <f t="shared" si="0"/>
        <v>233</v>
      </c>
      <c r="K8" s="11">
        <f t="shared" si="1"/>
        <v>0.33285714285714285</v>
      </c>
      <c r="L8" s="9">
        <f t="shared" si="2"/>
        <v>1</v>
      </c>
    </row>
    <row r="9" spans="1:12">
      <c r="A9" s="2" t="s">
        <v>22</v>
      </c>
      <c r="B9" s="3" t="s">
        <v>23</v>
      </c>
      <c r="C9" s="4"/>
      <c r="D9" s="4">
        <f>68+20+8</f>
        <v>96</v>
      </c>
      <c r="E9" s="4"/>
      <c r="F9" s="4"/>
      <c r="G9" s="4">
        <v>68</v>
      </c>
      <c r="H9" s="4"/>
      <c r="I9" s="4">
        <v>32</v>
      </c>
      <c r="J9" s="5">
        <f t="shared" si="0"/>
        <v>196</v>
      </c>
      <c r="K9" s="6">
        <f t="shared" si="1"/>
        <v>0.28000000000000003</v>
      </c>
      <c r="L9" s="4">
        <f t="shared" si="2"/>
        <v>5</v>
      </c>
    </row>
    <row r="10" spans="1:12">
      <c r="A10" s="7" t="s">
        <v>24</v>
      </c>
      <c r="B10" s="8" t="s">
        <v>25</v>
      </c>
      <c r="C10" s="9"/>
      <c r="D10" s="9">
        <f>52+20+8</f>
        <v>80</v>
      </c>
      <c r="E10" s="9"/>
      <c r="F10" s="9"/>
      <c r="G10" s="9">
        <v>61</v>
      </c>
      <c r="H10" s="9"/>
      <c r="I10" s="9">
        <v>19</v>
      </c>
      <c r="J10" s="10">
        <f t="shared" si="0"/>
        <v>160</v>
      </c>
      <c r="K10" s="11">
        <f t="shared" si="1"/>
        <v>0.22857142857142856</v>
      </c>
      <c r="L10" s="9">
        <f t="shared" si="2"/>
        <v>6</v>
      </c>
    </row>
    <row r="11" spans="1:12">
      <c r="A11" s="2" t="s">
        <v>26</v>
      </c>
      <c r="B11" s="3" t="s">
        <v>27</v>
      </c>
      <c r="C11" s="4"/>
      <c r="D11" s="4">
        <f>20+7</f>
        <v>27</v>
      </c>
      <c r="E11" s="4"/>
      <c r="F11" s="4"/>
      <c r="G11" s="4">
        <v>48</v>
      </c>
      <c r="H11" s="4"/>
      <c r="I11" s="4">
        <v>46</v>
      </c>
      <c r="J11" s="5">
        <f t="shared" si="0"/>
        <v>121</v>
      </c>
      <c r="K11" s="6">
        <f t="shared" si="1"/>
        <v>0.17285714285714285</v>
      </c>
      <c r="L11" s="4">
        <f t="shared" si="2"/>
        <v>10</v>
      </c>
    </row>
    <row r="12" spans="1:12">
      <c r="A12" s="7" t="s">
        <v>28</v>
      </c>
      <c r="B12" s="8" t="s">
        <v>29</v>
      </c>
      <c r="C12" s="9"/>
      <c r="D12" s="9">
        <f>39+20+5</f>
        <v>64</v>
      </c>
      <c r="E12" s="9"/>
      <c r="F12" s="9"/>
      <c r="G12" s="9">
        <v>48</v>
      </c>
      <c r="H12" s="9"/>
      <c r="I12" s="9">
        <v>15</v>
      </c>
      <c r="J12" s="10">
        <f t="shared" si="0"/>
        <v>127</v>
      </c>
      <c r="K12" s="11">
        <f t="shared" si="1"/>
        <v>0.18142857142857144</v>
      </c>
      <c r="L12" s="9">
        <f t="shared" si="2"/>
        <v>9</v>
      </c>
    </row>
    <row r="13" spans="1:12">
      <c r="A13" s="2" t="s">
        <v>30</v>
      </c>
      <c r="B13" s="3" t="s">
        <v>31</v>
      </c>
      <c r="C13" s="4"/>
      <c r="D13" s="4" t="s">
        <v>32</v>
      </c>
      <c r="E13" s="4"/>
      <c r="F13" s="4"/>
      <c r="G13" s="4" t="s">
        <v>32</v>
      </c>
      <c r="H13" s="4"/>
      <c r="I13" s="4" t="s">
        <v>32</v>
      </c>
      <c r="J13" s="5">
        <f t="shared" si="0"/>
        <v>0</v>
      </c>
      <c r="K13" s="6">
        <f t="shared" si="1"/>
        <v>0</v>
      </c>
      <c r="L13" s="4">
        <f t="shared" si="2"/>
        <v>15</v>
      </c>
    </row>
    <row r="14" spans="1:12">
      <c r="A14" s="7" t="s">
        <v>33</v>
      </c>
      <c r="B14" s="8" t="s">
        <v>34</v>
      </c>
      <c r="C14" s="9"/>
      <c r="D14" s="9">
        <f>65+20+9</f>
        <v>94</v>
      </c>
      <c r="E14" s="9"/>
      <c r="F14" s="9"/>
      <c r="G14" s="9" t="s">
        <v>32</v>
      </c>
      <c r="H14" s="9"/>
      <c r="I14" s="9" t="s">
        <v>32</v>
      </c>
      <c r="J14" s="10">
        <f t="shared" si="0"/>
        <v>94</v>
      </c>
      <c r="K14" s="11">
        <f t="shared" si="1"/>
        <v>0.13428571428571429</v>
      </c>
      <c r="L14" s="9">
        <f t="shared" si="2"/>
        <v>14</v>
      </c>
    </row>
    <row r="15" spans="1:12">
      <c r="A15" s="2" t="s">
        <v>35</v>
      </c>
      <c r="B15" s="3" t="s">
        <v>36</v>
      </c>
      <c r="C15" s="4"/>
      <c r="D15" s="4">
        <f>20+20+2</f>
        <v>42</v>
      </c>
      <c r="E15" s="4"/>
      <c r="F15" s="4"/>
      <c r="G15" s="4">
        <v>52</v>
      </c>
      <c r="H15" s="4"/>
      <c r="I15" s="4">
        <v>14</v>
      </c>
      <c r="J15" s="5">
        <f t="shared" si="0"/>
        <v>108</v>
      </c>
      <c r="K15" s="6">
        <f t="shared" si="1"/>
        <v>0.15428571428571428</v>
      </c>
      <c r="L15" s="4">
        <f t="shared" si="2"/>
        <v>13</v>
      </c>
    </row>
    <row r="16" spans="1:12">
      <c r="A16" s="7" t="s">
        <v>37</v>
      </c>
      <c r="B16" s="12" t="s">
        <v>38</v>
      </c>
      <c r="C16" s="9"/>
      <c r="D16" s="9">
        <f>46+20+5</f>
        <v>71</v>
      </c>
      <c r="E16" s="9"/>
      <c r="F16" s="9"/>
      <c r="G16" s="9">
        <v>38</v>
      </c>
      <c r="H16" s="9"/>
      <c r="I16" s="9">
        <v>7</v>
      </c>
      <c r="J16" s="10">
        <f t="shared" si="0"/>
        <v>116</v>
      </c>
      <c r="K16" s="11">
        <f t="shared" si="1"/>
        <v>0.1657142857142857</v>
      </c>
      <c r="L16" s="9">
        <f t="shared" si="2"/>
        <v>12</v>
      </c>
    </row>
    <row r="17" spans="1:12">
      <c r="A17" s="2" t="s">
        <v>39</v>
      </c>
      <c r="B17" s="3" t="s">
        <v>40</v>
      </c>
      <c r="C17" s="4"/>
      <c r="D17" s="4">
        <f>33+20+6</f>
        <v>59</v>
      </c>
      <c r="E17" s="4"/>
      <c r="F17" s="4"/>
      <c r="G17" s="4">
        <v>54</v>
      </c>
      <c r="H17" s="4"/>
      <c r="I17" s="4">
        <v>16</v>
      </c>
      <c r="J17" s="5">
        <f t="shared" si="0"/>
        <v>129</v>
      </c>
      <c r="K17" s="6">
        <f t="shared" si="1"/>
        <v>0.18428571428571427</v>
      </c>
      <c r="L17" s="4">
        <f t="shared" si="2"/>
        <v>8</v>
      </c>
    </row>
    <row r="18" spans="1:12">
      <c r="A18" s="7" t="s">
        <v>41</v>
      </c>
      <c r="B18" s="8" t="s">
        <v>42</v>
      </c>
      <c r="C18" s="9"/>
      <c r="D18" s="9">
        <f>55+20+6</f>
        <v>81</v>
      </c>
      <c r="E18" s="9"/>
      <c r="F18" s="9"/>
      <c r="G18" s="9">
        <v>46</v>
      </c>
      <c r="H18" s="9"/>
      <c r="I18" s="9">
        <v>18</v>
      </c>
      <c r="J18" s="10">
        <f t="shared" si="0"/>
        <v>145</v>
      </c>
      <c r="K18" s="11">
        <f t="shared" si="1"/>
        <v>0.20714285714285716</v>
      </c>
      <c r="L18" s="9">
        <f t="shared" si="2"/>
        <v>7</v>
      </c>
    </row>
    <row r="19" spans="1:12">
      <c r="A19" s="2" t="s">
        <v>43</v>
      </c>
      <c r="B19" s="3" t="s">
        <v>44</v>
      </c>
      <c r="C19" s="4"/>
      <c r="D19" s="4">
        <f>34+20+4</f>
        <v>58</v>
      </c>
      <c r="E19" s="4"/>
      <c r="F19" s="4"/>
      <c r="G19" s="4">
        <v>41</v>
      </c>
      <c r="H19" s="4"/>
      <c r="I19" s="4">
        <v>21</v>
      </c>
      <c r="J19" s="5">
        <f t="shared" si="0"/>
        <v>120</v>
      </c>
      <c r="K19" s="6">
        <f t="shared" si="1"/>
        <v>0.17142857142857143</v>
      </c>
      <c r="L19" s="4">
        <f t="shared" si="2"/>
        <v>11</v>
      </c>
    </row>
    <row r="20" spans="1:12" ht="15" thickBot="1">
      <c r="A20" s="20" t="s">
        <v>45</v>
      </c>
      <c r="B20" s="21"/>
      <c r="C20" s="13" t="e">
        <f t="shared" ref="C20:K20" si="3">AVERAGE(C5:C19)</f>
        <v>#DIV/0!</v>
      </c>
      <c r="D20" s="13">
        <f t="shared" si="3"/>
        <v>73.785714285714292</v>
      </c>
      <c r="E20" s="13" t="e">
        <f t="shared" si="3"/>
        <v>#DIV/0!</v>
      </c>
      <c r="F20" s="13" t="e">
        <f t="shared" si="3"/>
        <v>#DIV/0!</v>
      </c>
      <c r="G20" s="13">
        <f t="shared" si="3"/>
        <v>59.230769230769234</v>
      </c>
      <c r="H20" s="13" t="e">
        <f t="shared" si="3"/>
        <v>#DIV/0!</v>
      </c>
      <c r="I20" s="13">
        <f t="shared" si="3"/>
        <v>28.384615384615383</v>
      </c>
      <c r="J20" s="14">
        <f t="shared" si="3"/>
        <v>144.80000000000001</v>
      </c>
      <c r="K20" s="15">
        <f t="shared" si="3"/>
        <v>0.20685714285714285</v>
      </c>
      <c r="L20" s="16"/>
    </row>
    <row r="21" spans="1:12" ht="15" thickTop="1"/>
  </sheetData>
  <mergeCells count="3">
    <mergeCell ref="A1:L1"/>
    <mergeCell ref="A2:L2"/>
    <mergeCell ref="A20:B20"/>
  </mergeCells>
  <conditionalFormatting sqref="A5:L19">
    <cfRule type="cellIs" dxfId="0" priority="1" operator="equal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2026-10-28T07:31:55Z</dcterms:modified>
</cp:coreProperties>
</file>