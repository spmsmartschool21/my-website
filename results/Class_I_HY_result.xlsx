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25" i="1" l="1"/>
  <c r="H25" i="1"/>
  <c r="G25" i="1"/>
  <c r="F25" i="1"/>
  <c r="E25" i="1"/>
  <c r="D25" i="1"/>
  <c r="C25" i="1"/>
  <c r="J24" i="1"/>
  <c r="L24" i="1" s="1"/>
  <c r="J23" i="1"/>
  <c r="K23" i="1" s="1"/>
  <c r="J22" i="1"/>
  <c r="K22" i="1" s="1"/>
  <c r="J21" i="1"/>
  <c r="K21" i="1" s="1"/>
  <c r="J20" i="1"/>
  <c r="L20" i="1" s="1"/>
  <c r="J19" i="1"/>
  <c r="L19" i="1" s="1"/>
  <c r="J18" i="1"/>
  <c r="L18" i="1" s="1"/>
  <c r="K17" i="1"/>
  <c r="J17" i="1"/>
  <c r="J16" i="1"/>
  <c r="K16" i="1" s="1"/>
  <c r="J15" i="1"/>
  <c r="L15" i="1" s="1"/>
  <c r="J14" i="1"/>
  <c r="K14" i="1" s="1"/>
  <c r="J13" i="1"/>
  <c r="K13" i="1" s="1"/>
  <c r="J12" i="1"/>
  <c r="L12" i="1" s="1"/>
  <c r="J11" i="1"/>
  <c r="L11" i="1" s="1"/>
  <c r="J10" i="1"/>
  <c r="K10" i="1" s="1"/>
  <c r="K9" i="1"/>
  <c r="J9" i="1"/>
  <c r="J8" i="1"/>
  <c r="L8" i="1" s="1"/>
  <c r="J7" i="1"/>
  <c r="K7" i="1" s="1"/>
  <c r="L6" i="1"/>
  <c r="J6" i="1"/>
  <c r="K6" i="1" s="1"/>
  <c r="J5" i="1"/>
  <c r="L5" i="1" s="1"/>
  <c r="L14" i="1" l="1"/>
  <c r="L17" i="1"/>
  <c r="K15" i="1"/>
  <c r="L7" i="1"/>
  <c r="K18" i="1"/>
  <c r="L23" i="1"/>
  <c r="L10" i="1"/>
  <c r="K8" i="1"/>
  <c r="L13" i="1"/>
  <c r="L21" i="1"/>
  <c r="K24" i="1"/>
  <c r="K11" i="1"/>
  <c r="L16" i="1"/>
  <c r="K19" i="1"/>
  <c r="J25" i="1"/>
  <c r="L22" i="1"/>
  <c r="L9" i="1"/>
  <c r="K12" i="1"/>
  <c r="K20" i="1"/>
  <c r="K5" i="1"/>
  <c r="K25" i="1" l="1"/>
</calcChain>
</file>

<file path=xl/sharedStrings.xml><?xml version="1.0" encoding="utf-8"?>
<sst xmlns="http://schemas.openxmlformats.org/spreadsheetml/2006/main" count="56" uniqueCount="56">
  <si>
    <t>SPM SMART SCHOOL</t>
  </si>
  <si>
    <t>Roll No</t>
  </si>
  <si>
    <t>Student Name</t>
  </si>
  <si>
    <t>English</t>
  </si>
  <si>
    <t>Maths</t>
  </si>
  <si>
    <t>Science</t>
  </si>
  <si>
    <t>SST</t>
  </si>
  <si>
    <t>Computer</t>
  </si>
  <si>
    <t>Grammar</t>
  </si>
  <si>
    <t>GK</t>
  </si>
  <si>
    <t>Total Marks</t>
  </si>
  <si>
    <t>%age</t>
  </si>
  <si>
    <t>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</si>
  <si>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</si>
  <si>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</si>
  <si>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</si>
  <si>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</si>
  <si>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</si>
  <si>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</si>
  <si>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</si>
  <si>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</si>
  <si>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</si>
  <si>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AB</t>
  </si>
  <si>
    <t>10</t>
  </si>
  <si>
    <t>11</t>
  </si>
  <si>
    <t>12</t>
  </si>
  <si>
    <t>13</t>
  </si>
  <si>
    <t>14</t>
  </si>
  <si>
    <t>15</t>
  </si>
  <si>
    <t>Class Average</t>
  </si>
  <si>
    <t>HALF YEARLY EXAMINATION  - ACADEMIC SESSION 2026-27 | CLASS: CLASS I</t>
  </si>
  <si>
    <t>Saksham Banerjee</t>
  </si>
  <si>
    <t>Abdul Muqsit</t>
  </si>
  <si>
    <t>Raiyan Hussain</t>
  </si>
  <si>
    <t>Ayush Bora</t>
  </si>
  <si>
    <t>Sahidul Islam</t>
  </si>
  <si>
    <t>Waliyah Hussain</t>
  </si>
  <si>
    <t>Tridisha Gogoi</t>
  </si>
  <si>
    <t>Manokhi Bora</t>
  </si>
  <si>
    <t>Debakar Das</t>
  </si>
  <si>
    <t>Divyansh Jaiswal</t>
  </si>
  <si>
    <t>Pihu Jaiswal</t>
  </si>
  <si>
    <t>Kaustavb Bora</t>
  </si>
  <si>
    <t>Debansh Saikia</t>
  </si>
  <si>
    <t>Pasuijo Chutia</t>
  </si>
  <si>
    <t>Mehnaj Begum</t>
  </si>
  <si>
    <t>16</t>
  </si>
  <si>
    <t>Sanvi Kumari</t>
  </si>
  <si>
    <t>17</t>
  </si>
  <si>
    <t>Radhika Kumari</t>
  </si>
  <si>
    <t>18</t>
  </si>
  <si>
    <t>Lucky Raj Gogoi</t>
  </si>
  <si>
    <t>19</t>
  </si>
  <si>
    <t>Samirul Ali</t>
  </si>
  <si>
    <t>20</t>
  </si>
  <si>
    <t>Guriya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</si>
</sst>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color rgb="FF4B5563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8EEF5"/>
        <bgColor rgb="FFE8EEF5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1B365D"/>
      </top>
      <bottom style="medium">
        <color rgb="FF1B365D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4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165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right" vertical="center"/>
    </xf>
    <xf numFmtId="164" fontId="5" fillId="5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/>
    <xf numFmtId="0" fontId="0" fillId="0" borderId="3" xfId="0" applyBorder="1" applyAlignment="1"/>
  </cellXfs>
  <cellStyles count="1">
    <cellStyle name="Normal" xfId="0" builtinId="0"/>
  </cellStyles>
  <dxfs count="3"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1"/>
        <color rgb="FF92400E"/>
        <name val="Calibri"/>
      </font>
      <fill>
        <patternFill patternType="solid">
          <fgColor rgb="FFFEF3C7"/>
          <bgColor rgb="FFFEF3C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N19" sqref="N19"/>
    </sheetView>
  </sheetViews>
  <sheetFormatPr defaultRowHeight="14.4"/>
  <cols>
    <col min="2" max="2" width="15.88671875" bestFit="1" customWidth="1"/>
  </cols>
  <sheetData>
    <row r="1" spans="1:12" ht="2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9" t="s">
        <v>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 thickBo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1:12">
      <c r="A5" s="3" t="s">
        <v>13</v>
      </c>
      <c r="B5" s="4" t="s">
        <v>31</v>
      </c>
      <c r="C5" s="5"/>
      <c r="D5" s="5"/>
      <c r="E5" s="5"/>
      <c r="F5" s="5"/>
      <c r="G5" s="5">
        <v>98</v>
      </c>
      <c r="H5" s="5"/>
      <c r="I5" s="5"/>
      <c r="J5" s="6">
        <f t="shared" ref="J5:J24" si="0">SUM(C5:I5)</f>
        <v>98</v>
      </c>
      <c r="K5" s="7">
        <f t="shared" ref="K5:K24" si="1">J5/700</f>
        <v>0.14000000000000001</v>
      </c>
      <c r="L5" s="5">
        <f t="shared" ref="L5:L24" si="2">RANK(J5, $J$5:$J$24)</f>
        <v>2</v>
      </c>
    </row>
    <row r="6" spans="1:12">
      <c r="A6" s="8" t="s">
        <v>14</v>
      </c>
      <c r="B6" s="9" t="s">
        <v>32</v>
      </c>
      <c r="C6" s="10"/>
      <c r="D6" s="10"/>
      <c r="E6" s="10"/>
      <c r="F6" s="10"/>
      <c r="G6" s="10">
        <v>99</v>
      </c>
      <c r="H6" s="10"/>
      <c r="I6" s="10"/>
      <c r="J6" s="11">
        <f t="shared" si="0"/>
        <v>99</v>
      </c>
      <c r="K6" s="12">
        <f t="shared" si="1"/>
        <v>0.14142857142857143</v>
      </c>
      <c r="L6" s="10">
        <f t="shared" si="2"/>
        <v>1</v>
      </c>
    </row>
    <row r="7" spans="1:12">
      <c r="A7" s="3" t="s">
        <v>15</v>
      </c>
      <c r="B7" s="4" t="s">
        <v>33</v>
      </c>
      <c r="C7" s="5"/>
      <c r="D7" s="5"/>
      <c r="E7" s="5"/>
      <c r="F7" s="5"/>
      <c r="G7" s="5" t="s">
        <v>22</v>
      </c>
      <c r="H7" s="5"/>
      <c r="I7" s="5"/>
      <c r="J7" s="6">
        <f t="shared" si="0"/>
        <v>0</v>
      </c>
      <c r="K7" s="7">
        <f t="shared" si="1"/>
        <v>0</v>
      </c>
      <c r="L7" s="5">
        <f t="shared" si="2"/>
        <v>20</v>
      </c>
    </row>
    <row r="8" spans="1:12">
      <c r="A8" s="8" t="s">
        <v>16</v>
      </c>
      <c r="B8" s="9" t="s">
        <v>34</v>
      </c>
      <c r="C8" s="10"/>
      <c r="D8" s="10"/>
      <c r="E8" s="10"/>
      <c r="F8" s="10"/>
      <c r="G8" s="10">
        <v>72</v>
      </c>
      <c r="H8" s="10"/>
      <c r="I8" s="10"/>
      <c r="J8" s="11">
        <f t="shared" si="0"/>
        <v>72</v>
      </c>
      <c r="K8" s="12">
        <f t="shared" si="1"/>
        <v>0.10285714285714286</v>
      </c>
      <c r="L8" s="10">
        <f t="shared" si="2"/>
        <v>10</v>
      </c>
    </row>
    <row r="9" spans="1:12">
      <c r="A9" s="3" t="s">
        <v>17</v>
      </c>
      <c r="B9" s="4" t="s">
        <v>35</v>
      </c>
      <c r="C9" s="5"/>
      <c r="D9" s="5"/>
      <c r="E9" s="5"/>
      <c r="F9" s="5"/>
      <c r="G9" s="5">
        <v>84</v>
      </c>
      <c r="H9" s="5"/>
      <c r="I9" s="5"/>
      <c r="J9" s="6">
        <f t="shared" si="0"/>
        <v>84</v>
      </c>
      <c r="K9" s="7">
        <f t="shared" si="1"/>
        <v>0.12</v>
      </c>
      <c r="L9" s="5">
        <f t="shared" si="2"/>
        <v>5</v>
      </c>
    </row>
    <row r="10" spans="1:12">
      <c r="A10" s="8" t="s">
        <v>18</v>
      </c>
      <c r="B10" s="9" t="s">
        <v>36</v>
      </c>
      <c r="C10" s="10"/>
      <c r="D10" s="10"/>
      <c r="E10" s="10"/>
      <c r="F10" s="10"/>
      <c r="G10" s="10">
        <v>90</v>
      </c>
      <c r="H10" s="10"/>
      <c r="I10" s="10"/>
      <c r="J10" s="11">
        <f t="shared" si="0"/>
        <v>90</v>
      </c>
      <c r="K10" s="12">
        <f t="shared" si="1"/>
        <v>0.12857142857142856</v>
      </c>
      <c r="L10" s="10">
        <f t="shared" si="2"/>
        <v>3</v>
      </c>
    </row>
    <row r="11" spans="1:12">
      <c r="A11" s="3" t="s">
        <v>19</v>
      </c>
      <c r="B11" s="4" t="s">
        <v>37</v>
      </c>
      <c r="C11" s="5"/>
      <c r="D11" s="5"/>
      <c r="E11" s="5"/>
      <c r="F11" s="5"/>
      <c r="G11" s="5">
        <v>74</v>
      </c>
      <c r="H11" s="5"/>
      <c r="I11" s="5"/>
      <c r="J11" s="6">
        <f t="shared" si="0"/>
        <v>74</v>
      </c>
      <c r="K11" s="7">
        <f t="shared" si="1"/>
        <v>0.10571428571428572</v>
      </c>
      <c r="L11" s="5">
        <f t="shared" si="2"/>
        <v>9</v>
      </c>
    </row>
    <row r="12" spans="1:12">
      <c r="A12" s="8" t="s">
        <v>20</v>
      </c>
      <c r="B12" s="9" t="s">
        <v>38</v>
      </c>
      <c r="C12" s="10"/>
      <c r="D12" s="10"/>
      <c r="E12" s="10"/>
      <c r="F12" s="10"/>
      <c r="G12" s="10">
        <v>79</v>
      </c>
      <c r="H12" s="10"/>
      <c r="I12" s="10"/>
      <c r="J12" s="11">
        <f t="shared" si="0"/>
        <v>79</v>
      </c>
      <c r="K12" s="12">
        <f t="shared" si="1"/>
        <v>0.11285714285714285</v>
      </c>
      <c r="L12" s="10">
        <f t="shared" si="2"/>
        <v>7</v>
      </c>
    </row>
    <row r="13" spans="1:12">
      <c r="A13" s="3" t="s">
        <v>21</v>
      </c>
      <c r="B13" s="4" t="s">
        <v>39</v>
      </c>
      <c r="C13" s="5"/>
      <c r="D13" s="5"/>
      <c r="E13" s="5"/>
      <c r="F13" s="5"/>
      <c r="G13" s="5">
        <v>80</v>
      </c>
      <c r="H13" s="5"/>
      <c r="I13" s="5"/>
      <c r="J13" s="6">
        <f t="shared" si="0"/>
        <v>80</v>
      </c>
      <c r="K13" s="7">
        <f t="shared" si="1"/>
        <v>0.11428571428571428</v>
      </c>
      <c r="L13" s="5">
        <f t="shared" si="2"/>
        <v>6</v>
      </c>
    </row>
    <row r="14" spans="1:12">
      <c r="A14" s="8" t="s">
        <v>23</v>
      </c>
      <c r="B14" s="9" t="s">
        <v>40</v>
      </c>
      <c r="C14" s="10"/>
      <c r="D14" s="10"/>
      <c r="E14" s="10"/>
      <c r="F14" s="10"/>
      <c r="G14" s="10">
        <v>89</v>
      </c>
      <c r="H14" s="10"/>
      <c r="I14" s="10"/>
      <c r="J14" s="11">
        <f t="shared" si="0"/>
        <v>89</v>
      </c>
      <c r="K14" s="12">
        <f t="shared" si="1"/>
        <v>0.12714285714285714</v>
      </c>
      <c r="L14" s="10">
        <f t="shared" si="2"/>
        <v>4</v>
      </c>
    </row>
    <row r="15" spans="1:12">
      <c r="A15" s="3" t="s">
        <v>24</v>
      </c>
      <c r="B15" s="9" t="s">
        <v>41</v>
      </c>
      <c r="C15" s="10"/>
      <c r="D15" s="10"/>
      <c r="E15" s="10"/>
      <c r="F15" s="10"/>
      <c r="G15" s="10">
        <v>79</v>
      </c>
      <c r="H15" s="10"/>
      <c r="I15" s="10"/>
      <c r="J15" s="11">
        <f t="shared" si="0"/>
        <v>79</v>
      </c>
      <c r="K15" s="12">
        <f t="shared" si="1"/>
        <v>0.11285714285714285</v>
      </c>
      <c r="L15" s="10">
        <f t="shared" si="2"/>
        <v>7</v>
      </c>
    </row>
    <row r="16" spans="1:12">
      <c r="A16" s="8" t="s">
        <v>25</v>
      </c>
      <c r="B16" s="9" t="s">
        <v>42</v>
      </c>
      <c r="C16" s="10"/>
      <c r="D16" s="10"/>
      <c r="E16" s="10"/>
      <c r="F16" s="10"/>
      <c r="G16" s="10">
        <v>54</v>
      </c>
      <c r="H16" s="10"/>
      <c r="I16" s="10"/>
      <c r="J16" s="11">
        <f t="shared" si="0"/>
        <v>54</v>
      </c>
      <c r="K16" s="12">
        <f t="shared" si="1"/>
        <v>7.7142857142857138E-2</v>
      </c>
      <c r="L16" s="10">
        <f t="shared" si="2"/>
        <v>15</v>
      </c>
    </row>
    <row r="17" spans="1:12">
      <c r="A17" s="3" t="s">
        <v>26</v>
      </c>
      <c r="B17" s="9" t="s">
        <v>43</v>
      </c>
      <c r="C17" s="10"/>
      <c r="D17" s="10"/>
      <c r="E17" s="10"/>
      <c r="F17" s="10"/>
      <c r="G17" s="10">
        <v>48</v>
      </c>
      <c r="H17" s="10"/>
      <c r="I17" s="10"/>
      <c r="J17" s="11">
        <f t="shared" si="0"/>
        <v>48</v>
      </c>
      <c r="K17" s="12">
        <f t="shared" si="1"/>
        <v>6.8571428571428575E-2</v>
      </c>
      <c r="L17" s="10">
        <f t="shared" si="2"/>
        <v>17</v>
      </c>
    </row>
    <row r="18" spans="1:12">
      <c r="A18" s="8" t="s">
        <v>27</v>
      </c>
      <c r="B18" s="22" t="s">
        <v>44</v>
      </c>
      <c r="C18" s="10"/>
      <c r="D18" s="10"/>
      <c r="E18" s="10"/>
      <c r="F18" s="10"/>
      <c r="G18" s="10">
        <v>57</v>
      </c>
      <c r="H18" s="10"/>
      <c r="I18" s="10"/>
      <c r="J18" s="11">
        <f t="shared" si="0"/>
        <v>57</v>
      </c>
      <c r="K18" s="12">
        <f t="shared" si="1"/>
        <v>8.1428571428571433E-2</v>
      </c>
      <c r="L18" s="10">
        <f t="shared" si="2"/>
        <v>14</v>
      </c>
    </row>
    <row r="19" spans="1:12">
      <c r="A19" s="3" t="s">
        <v>28</v>
      </c>
      <c r="B19" s="9" t="s">
        <v>45</v>
      </c>
      <c r="C19" s="10"/>
      <c r="D19" s="10"/>
      <c r="E19" s="10"/>
      <c r="F19" s="10"/>
      <c r="G19" s="10">
        <v>50</v>
      </c>
      <c r="H19" s="10"/>
      <c r="I19" s="10"/>
      <c r="J19" s="11">
        <f t="shared" si="0"/>
        <v>50</v>
      </c>
      <c r="K19" s="12">
        <f t="shared" si="1"/>
        <v>7.1428571428571425E-2</v>
      </c>
      <c r="L19" s="10">
        <f t="shared" si="2"/>
        <v>16</v>
      </c>
    </row>
    <row r="20" spans="1:12">
      <c r="A20" s="8" t="s">
        <v>46</v>
      </c>
      <c r="B20" s="4" t="s">
        <v>47</v>
      </c>
      <c r="C20" s="5"/>
      <c r="D20" s="5"/>
      <c r="E20" s="5"/>
      <c r="F20" s="5"/>
      <c r="G20" s="5">
        <v>59</v>
      </c>
      <c r="H20" s="5"/>
      <c r="I20" s="5"/>
      <c r="J20" s="6">
        <f t="shared" si="0"/>
        <v>59</v>
      </c>
      <c r="K20" s="7">
        <f t="shared" si="1"/>
        <v>8.4285714285714283E-2</v>
      </c>
      <c r="L20" s="5">
        <f t="shared" si="2"/>
        <v>13</v>
      </c>
    </row>
    <row r="21" spans="1:12">
      <c r="A21" s="3" t="s">
        <v>48</v>
      </c>
      <c r="B21" s="9" t="s">
        <v>49</v>
      </c>
      <c r="C21" s="10"/>
      <c r="D21" s="10"/>
      <c r="E21" s="10"/>
      <c r="F21" s="10"/>
      <c r="G21" s="10">
        <v>68</v>
      </c>
      <c r="H21" s="10"/>
      <c r="I21" s="10"/>
      <c r="J21" s="11">
        <f t="shared" si="0"/>
        <v>68</v>
      </c>
      <c r="K21" s="12">
        <f t="shared" si="1"/>
        <v>9.7142857142857142E-2</v>
      </c>
      <c r="L21" s="10">
        <f t="shared" si="2"/>
        <v>11</v>
      </c>
    </row>
    <row r="22" spans="1:12">
      <c r="A22" s="8" t="s">
        <v>50</v>
      </c>
      <c r="B22" s="4" t="s">
        <v>51</v>
      </c>
      <c r="C22" s="5"/>
      <c r="D22" s="5"/>
      <c r="E22" s="5"/>
      <c r="F22" s="5"/>
      <c r="G22" s="5">
        <v>46</v>
      </c>
      <c r="H22" s="5"/>
      <c r="I22" s="5"/>
      <c r="J22" s="6">
        <f t="shared" si="0"/>
        <v>46</v>
      </c>
      <c r="K22" s="7">
        <f t="shared" si="1"/>
        <v>6.5714285714285711E-2</v>
      </c>
      <c r="L22" s="5">
        <f t="shared" si="2"/>
        <v>18</v>
      </c>
    </row>
    <row r="23" spans="1:12">
      <c r="A23" s="3" t="s">
        <v>52</v>
      </c>
      <c r="B23" s="9" t="s">
        <v>53</v>
      </c>
      <c r="C23" s="10"/>
      <c r="D23" s="10"/>
      <c r="E23" s="10"/>
      <c r="F23" s="10"/>
      <c r="G23" s="10">
        <v>41</v>
      </c>
      <c r="H23" s="10"/>
      <c r="I23" s="10"/>
      <c r="J23" s="11">
        <f t="shared" si="0"/>
        <v>41</v>
      </c>
      <c r="K23" s="12">
        <f t="shared" si="1"/>
        <v>5.8571428571428573E-2</v>
      </c>
      <c r="L23" s="10">
        <f t="shared" si="2"/>
        <v>19</v>
      </c>
    </row>
    <row r="24" spans="1:12">
      <c r="A24" s="8" t="s">
        <v>54</v>
      </c>
      <c r="B24" s="4" t="s">
        <v>55</v>
      </c>
      <c r="C24" s="5"/>
      <c r="D24" s="5"/>
      <c r="E24" s="5"/>
      <c r="F24" s="5"/>
      <c r="G24" s="5">
        <v>68</v>
      </c>
      <c r="H24" s="5"/>
      <c r="I24" s="5"/>
      <c r="J24" s="6">
        <f t="shared" si="0"/>
        <v>68</v>
      </c>
      <c r="K24" s="7">
        <f t="shared" si="1"/>
        <v>9.7142857142857142E-2</v>
      </c>
      <c r="L24" s="5">
        <f t="shared" si="2"/>
        <v>11</v>
      </c>
    </row>
    <row r="25" spans="1:12" ht="15" thickBot="1">
      <c r="A25" s="20" t="s">
        <v>29</v>
      </c>
      <c r="B25" s="21"/>
      <c r="C25" s="13" t="e">
        <f t="shared" ref="C25:K25" si="3">AVERAGE(C5:C24)</f>
        <v>#DIV/0!</v>
      </c>
      <c r="D25" s="13" t="e">
        <f t="shared" si="3"/>
        <v>#DIV/0!</v>
      </c>
      <c r="E25" s="13" t="e">
        <f t="shared" si="3"/>
        <v>#DIV/0!</v>
      </c>
      <c r="F25" s="13" t="e">
        <f t="shared" si="3"/>
        <v>#DIV/0!</v>
      </c>
      <c r="G25" s="13">
        <f t="shared" si="3"/>
        <v>70.263157894736835</v>
      </c>
      <c r="H25" s="13" t="e">
        <f t="shared" si="3"/>
        <v>#DIV/0!</v>
      </c>
      <c r="I25" s="13" t="e">
        <f t="shared" si="3"/>
        <v>#DIV/0!</v>
      </c>
      <c r="J25" s="14">
        <f t="shared" si="3"/>
        <v>66.75</v>
      </c>
      <c r="K25" s="15">
        <f t="shared" si="3"/>
        <v>9.5357142857142849E-2</v>
      </c>
      <c r="L25" s="16"/>
    </row>
    <row r="26" spans="1:12" ht="15" thickTop="1"/>
  </sheetData>
  <mergeCells count="3">
    <mergeCell ref="A1:L1"/>
    <mergeCell ref="A2:L2"/>
    <mergeCell ref="A25:B25"/>
  </mergeCells>
  <conditionalFormatting sqref="A5:L24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2026-10-28T06:54:58Z</dcterms:modified>
</cp:coreProperties>
</file>