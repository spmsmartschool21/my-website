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J13" i="1" l="1"/>
  <c r="I13" i="1"/>
  <c r="H13" i="1"/>
  <c r="G13" i="1"/>
  <c r="F13" i="1"/>
  <c r="E13" i="1"/>
  <c r="D13" i="1"/>
  <c r="C13" i="1"/>
  <c r="K12" i="1"/>
  <c r="M12" i="1" s="1"/>
  <c r="K11" i="1"/>
  <c r="L11" i="1" s="1"/>
  <c r="K10" i="1"/>
  <c r="M10" i="1" s="1"/>
  <c r="K9" i="1"/>
  <c r="M9" i="1" s="1"/>
  <c r="M8" i="1"/>
  <c r="L8" i="1"/>
  <c r="K8" i="1"/>
  <c r="K7" i="1"/>
  <c r="L7" i="1" s="1"/>
  <c r="K6" i="1"/>
  <c r="M6" i="1" s="1"/>
  <c r="M5" i="1"/>
  <c r="L5" i="1"/>
  <c r="K5" i="1"/>
  <c r="K13" i="1" s="1"/>
  <c r="L6" i="1" l="1"/>
  <c r="L13" i="1" s="1"/>
  <c r="M11" i="1"/>
  <c r="L9" i="1"/>
  <c r="M7" i="1"/>
  <c r="L10" i="1"/>
  <c r="L12" i="1"/>
</calcChain>
</file>

<file path=xl/sharedStrings.xml><?xml version="1.0" encoding="utf-8"?>
<sst xmlns="http://schemas.openxmlformats.org/spreadsheetml/2006/main" count="32" uniqueCount="32">
  <si>
    <t>SPM SMART SCHOOL</t>
  </si>
  <si>
    <t>Roll No</t>
  </si>
  <si>
    <t>Student Name</t>
  </si>
  <si>
    <t>English</t>
  </si>
  <si>
    <t>Maths</t>
  </si>
  <si>
    <t>Science</t>
  </si>
  <si>
    <t>SST</t>
  </si>
  <si>
    <t>Computer</t>
  </si>
  <si>
    <t>Grammar</t>
  </si>
  <si>
    <t>GK</t>
  </si>
  <si>
    <t>Total Marks</t>
  </si>
  <si>
    <t>%age</t>
  </si>
  <si>
    <t>Rank</t>
  </si>
  <si>
    <t>1</t>
  </si>
  <si>
    <t>2</t>
  </si>
  <si>
    <t>3</t>
  </si>
  <si>
    <t>4</t>
  </si>
  <si>
    <t>5</t>
  </si>
  <si>
    <t>6</t>
  </si>
  <si>
    <t>7</t>
  </si>
  <si>
    <t>8</t>
  </si>
  <si>
    <t>Class Average</t>
  </si>
  <si>
    <t>HALF YEARLY EXAMINATION - ACADEMIC SESSION 2026-27 | CLASS: CLASS V</t>
  </si>
  <si>
    <t>Drawing</t>
  </si>
  <si>
    <t>Mahreen Naz</t>
  </si>
  <si>
    <t>Ritika Jaiswal</t>
  </si>
  <si>
    <t>Tonmoy Kachari</t>
  </si>
  <si>
    <t>Jyotishman Kachari</t>
  </si>
  <si>
    <t>Sahim Aftar Ali</t>
  </si>
  <si>
    <t>Ragini Mech</t>
  </si>
  <si>
    <t>Rimchim Gogoi</t>
  </si>
  <si>
    <t>Punam Kumari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</si>
</sst>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6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b/>
      <sz val="11"/>
      <color rgb="FF4B5563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E8EEF5"/>
        <bgColor rgb="FFE8EEF5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medium">
        <color rgb="FF1B365D"/>
      </top>
      <bottom style="medium">
        <color rgb="FF1B365D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1B365D"/>
      </top>
      <bottom style="double">
        <color rgb="FF1B365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/>
    </xf>
    <xf numFmtId="164" fontId="4" fillId="3" borderId="2" xfId="0" applyNumberFormat="1" applyFont="1" applyFill="1" applyBorder="1" applyAlignment="1">
      <alignment horizontal="right" vertical="center"/>
    </xf>
    <xf numFmtId="0" fontId="4" fillId="4" borderId="2" xfId="0" quotePrefix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right" vertical="center"/>
    </xf>
    <xf numFmtId="164" fontId="4" fillId="4" borderId="2" xfId="0" applyNumberFormat="1" applyFont="1" applyFill="1" applyBorder="1" applyAlignment="1">
      <alignment horizontal="right" vertical="center"/>
    </xf>
    <xf numFmtId="165" fontId="5" fillId="5" borderId="3" xfId="0" applyNumberFormat="1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right" vertical="center"/>
    </xf>
    <xf numFmtId="164" fontId="5" fillId="5" borderId="3" xfId="0" applyNumberFormat="1" applyFont="1" applyFill="1" applyBorder="1" applyAlignment="1">
      <alignment horizontal="right" vertical="center"/>
    </xf>
    <xf numFmtId="0" fontId="5" fillId="5" borderId="3" xfId="0" applyFont="1" applyFill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/>
  </cellXfs>
  <cellStyles count="1">
    <cellStyle name="Normal" xfId="0" builtinId="0"/>
  </cellStyles>
  <dxfs count="5">
    <dxf>
      <font>
        <b/>
        <sz val="11"/>
        <color rgb="FF92400E"/>
        <name val="Calibri"/>
      </font>
      <fill>
        <patternFill patternType="solid">
          <fgColor rgb="FFFEF3C7"/>
          <bgColor rgb="FFFEF3C7"/>
        </patternFill>
      </fill>
    </dxf>
    <dxf>
      <font>
        <b/>
        <sz val="11"/>
        <color rgb="FF92400E"/>
        <name val="Calibri"/>
      </font>
      <fill>
        <patternFill patternType="solid">
          <fgColor rgb="FFFEF3C7"/>
          <bgColor rgb="FFFEF3C7"/>
        </patternFill>
      </fill>
    </dxf>
    <dxf>
      <font>
        <b/>
        <sz val="11"/>
        <color rgb="FF92400E"/>
        <name val="Calibri"/>
      </font>
      <fill>
        <patternFill patternType="solid">
          <fgColor rgb="FFFEF3C7"/>
          <bgColor rgb="FFFEF3C7"/>
        </patternFill>
      </fill>
    </dxf>
    <dxf>
      <font>
        <b/>
        <sz val="11"/>
        <color rgb="FF92400E"/>
        <name val="Calibri"/>
      </font>
      <fill>
        <patternFill patternType="solid">
          <fgColor rgb="FFFEF3C7"/>
          <bgColor rgb="FFFEF3C7"/>
        </patternFill>
      </fill>
    </dxf>
    <dxf>
      <font>
        <b/>
        <sz val="11"/>
        <color rgb="FF92400E"/>
        <name val="Calibri"/>
      </font>
      <fill>
        <patternFill patternType="solid">
          <fgColor rgb="FFFEF3C7"/>
          <bgColor rgb="FFFEF3C7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abSelected="1" workbookViewId="0">
      <selection sqref="A1:XFD1048576"/>
    </sheetView>
  </sheetViews>
  <sheetFormatPr defaultRowHeight="14.4"/>
  <cols>
    <col min="1" max="1" width="7" style="1" bestFit="1" customWidth="1"/>
    <col min="2" max="2" width="16.6640625" style="1" bestFit="1" customWidth="1"/>
    <col min="3" max="6" width="7.5546875" style="1" bestFit="1" customWidth="1"/>
    <col min="7" max="7" width="9.44140625" style="1" bestFit="1" customWidth="1"/>
    <col min="8" max="8" width="8.88671875" style="1" bestFit="1" customWidth="1"/>
    <col min="9" max="9" width="4.5546875" style="1" bestFit="1" customWidth="1"/>
    <col min="10" max="10" width="8" style="1" bestFit="1" customWidth="1"/>
    <col min="11" max="11" width="10.88671875" style="1" bestFit="1" customWidth="1"/>
    <col min="12" max="12" width="6" style="1" bestFit="1" customWidth="1"/>
    <col min="13" max="13" width="5.21875" style="1" bestFit="1" customWidth="1"/>
    <col min="14" max="16384" width="8.88671875" style="1"/>
  </cols>
  <sheetData>
    <row r="1" spans="1:13" ht="2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>
      <c r="A2" s="19" t="s">
        <v>22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15" thickBot="1"/>
    <row r="4" spans="1:13" ht="15" thickBo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23</v>
      </c>
      <c r="K4" s="2" t="s">
        <v>10</v>
      </c>
      <c r="L4" s="2" t="s">
        <v>11</v>
      </c>
      <c r="M4" s="2" t="s">
        <v>12</v>
      </c>
    </row>
    <row r="5" spans="1:13">
      <c r="A5" s="3" t="s">
        <v>13</v>
      </c>
      <c r="B5" s="4" t="s">
        <v>24</v>
      </c>
      <c r="C5" s="5"/>
      <c r="D5" s="5">
        <v>92</v>
      </c>
      <c r="E5" s="5"/>
      <c r="F5" s="5"/>
      <c r="G5" s="5">
        <v>82</v>
      </c>
      <c r="H5" s="5"/>
      <c r="I5" s="5">
        <v>48</v>
      </c>
      <c r="J5" s="5">
        <v>49</v>
      </c>
      <c r="K5" s="6">
        <f t="shared" ref="K5:K12" si="0">SUM(C5:I5)</f>
        <v>222</v>
      </c>
      <c r="L5" s="7">
        <f t="shared" ref="L5:L12" si="1">K5/700</f>
        <v>0.31714285714285712</v>
      </c>
      <c r="M5" s="5">
        <f t="shared" ref="M5:M12" si="2">RANK(K5, $K$5:$K$12)</f>
        <v>1</v>
      </c>
    </row>
    <row r="6" spans="1:13">
      <c r="A6" s="8" t="s">
        <v>14</v>
      </c>
      <c r="B6" s="9" t="s">
        <v>25</v>
      </c>
      <c r="C6" s="10"/>
      <c r="D6" s="10">
        <v>75</v>
      </c>
      <c r="E6" s="10"/>
      <c r="F6" s="10"/>
      <c r="G6" s="10">
        <v>78</v>
      </c>
      <c r="H6" s="10"/>
      <c r="I6" s="10">
        <v>42</v>
      </c>
      <c r="J6" s="10">
        <v>41</v>
      </c>
      <c r="K6" s="11">
        <f t="shared" si="0"/>
        <v>195</v>
      </c>
      <c r="L6" s="12">
        <f t="shared" si="1"/>
        <v>0.27857142857142858</v>
      </c>
      <c r="M6" s="10">
        <f t="shared" si="2"/>
        <v>2</v>
      </c>
    </row>
    <row r="7" spans="1:13">
      <c r="A7" s="3" t="s">
        <v>15</v>
      </c>
      <c r="B7" s="4" t="s">
        <v>26</v>
      </c>
      <c r="C7" s="5"/>
      <c r="D7" s="5">
        <v>76</v>
      </c>
      <c r="E7" s="5"/>
      <c r="F7" s="5"/>
      <c r="G7" s="5">
        <v>56</v>
      </c>
      <c r="H7" s="5"/>
      <c r="I7" s="5">
        <v>41</v>
      </c>
      <c r="J7" s="5">
        <v>45</v>
      </c>
      <c r="K7" s="6">
        <f t="shared" si="0"/>
        <v>173</v>
      </c>
      <c r="L7" s="7">
        <f t="shared" si="1"/>
        <v>0.24714285714285714</v>
      </c>
      <c r="M7" s="5">
        <f t="shared" si="2"/>
        <v>3</v>
      </c>
    </row>
    <row r="8" spans="1:13">
      <c r="A8" s="8" t="s">
        <v>16</v>
      </c>
      <c r="B8" s="9" t="s">
        <v>27</v>
      </c>
      <c r="C8" s="10"/>
      <c r="D8" s="10">
        <v>75</v>
      </c>
      <c r="E8" s="10"/>
      <c r="F8" s="10"/>
      <c r="G8" s="10">
        <v>53</v>
      </c>
      <c r="H8" s="10"/>
      <c r="I8" s="10">
        <v>35</v>
      </c>
      <c r="J8" s="10">
        <v>45</v>
      </c>
      <c r="K8" s="11">
        <f t="shared" si="0"/>
        <v>163</v>
      </c>
      <c r="L8" s="12">
        <f t="shared" si="1"/>
        <v>0.23285714285714285</v>
      </c>
      <c r="M8" s="10">
        <f t="shared" si="2"/>
        <v>4</v>
      </c>
    </row>
    <row r="9" spans="1:13">
      <c r="A9" s="3" t="s">
        <v>17</v>
      </c>
      <c r="B9" s="4" t="s">
        <v>28</v>
      </c>
      <c r="C9" s="5"/>
      <c r="D9" s="5">
        <v>55</v>
      </c>
      <c r="E9" s="5"/>
      <c r="F9" s="5"/>
      <c r="G9" s="5">
        <v>51</v>
      </c>
      <c r="H9" s="5"/>
      <c r="I9" s="5">
        <v>21</v>
      </c>
      <c r="J9" s="5">
        <v>30</v>
      </c>
      <c r="K9" s="6">
        <f t="shared" si="0"/>
        <v>127</v>
      </c>
      <c r="L9" s="7">
        <f t="shared" si="1"/>
        <v>0.18142857142857144</v>
      </c>
      <c r="M9" s="5">
        <f t="shared" si="2"/>
        <v>6</v>
      </c>
    </row>
    <row r="10" spans="1:13">
      <c r="A10" s="8" t="s">
        <v>18</v>
      </c>
      <c r="B10" s="9" t="s">
        <v>29</v>
      </c>
      <c r="C10" s="10"/>
      <c r="D10" s="10">
        <v>48</v>
      </c>
      <c r="E10" s="10"/>
      <c r="F10" s="10"/>
      <c r="G10" s="10">
        <v>41</v>
      </c>
      <c r="H10" s="10"/>
      <c r="I10" s="10">
        <v>26</v>
      </c>
      <c r="J10" s="10">
        <v>38</v>
      </c>
      <c r="K10" s="11">
        <f t="shared" si="0"/>
        <v>115</v>
      </c>
      <c r="L10" s="12">
        <f t="shared" si="1"/>
        <v>0.16428571428571428</v>
      </c>
      <c r="M10" s="10">
        <f t="shared" si="2"/>
        <v>7</v>
      </c>
    </row>
    <row r="11" spans="1:13">
      <c r="A11" s="3" t="s">
        <v>19</v>
      </c>
      <c r="B11" s="4" t="s">
        <v>30</v>
      </c>
      <c r="C11" s="5"/>
      <c r="D11" s="5">
        <v>45</v>
      </c>
      <c r="E11" s="5"/>
      <c r="F11" s="5"/>
      <c r="G11" s="5">
        <v>42</v>
      </c>
      <c r="H11" s="5"/>
      <c r="I11" s="5">
        <v>13</v>
      </c>
      <c r="J11" s="5">
        <v>36</v>
      </c>
      <c r="K11" s="6">
        <f t="shared" si="0"/>
        <v>100</v>
      </c>
      <c r="L11" s="7">
        <f t="shared" si="1"/>
        <v>0.14285714285714285</v>
      </c>
      <c r="M11" s="5">
        <f t="shared" si="2"/>
        <v>8</v>
      </c>
    </row>
    <row r="12" spans="1:13">
      <c r="A12" s="8" t="s">
        <v>20</v>
      </c>
      <c r="B12" s="9" t="s">
        <v>31</v>
      </c>
      <c r="C12" s="10"/>
      <c r="D12" s="10">
        <v>68</v>
      </c>
      <c r="E12" s="10"/>
      <c r="F12" s="10"/>
      <c r="G12" s="10">
        <v>45</v>
      </c>
      <c r="H12" s="10"/>
      <c r="I12" s="10">
        <v>30</v>
      </c>
      <c r="J12" s="10">
        <v>41</v>
      </c>
      <c r="K12" s="11">
        <f t="shared" si="0"/>
        <v>143</v>
      </c>
      <c r="L12" s="12">
        <f t="shared" si="1"/>
        <v>0.20428571428571429</v>
      </c>
      <c r="M12" s="10">
        <f t="shared" si="2"/>
        <v>5</v>
      </c>
    </row>
    <row r="13" spans="1:13" ht="15" thickBot="1">
      <c r="A13" s="20" t="s">
        <v>21</v>
      </c>
      <c r="B13" s="21"/>
      <c r="C13" s="13" t="e">
        <f t="shared" ref="C13:L13" si="3">AVERAGE(C5:C12)</f>
        <v>#DIV/0!</v>
      </c>
      <c r="D13" s="13">
        <f t="shared" si="3"/>
        <v>66.75</v>
      </c>
      <c r="E13" s="13" t="e">
        <f t="shared" si="3"/>
        <v>#DIV/0!</v>
      </c>
      <c r="F13" s="13" t="e">
        <f t="shared" si="3"/>
        <v>#DIV/0!</v>
      </c>
      <c r="G13" s="13">
        <f t="shared" si="3"/>
        <v>56</v>
      </c>
      <c r="H13" s="13" t="e">
        <f t="shared" si="3"/>
        <v>#DIV/0!</v>
      </c>
      <c r="I13" s="13">
        <f t="shared" si="3"/>
        <v>32</v>
      </c>
      <c r="J13" s="13">
        <f t="shared" si="3"/>
        <v>40.625</v>
      </c>
      <c r="K13" s="14">
        <f t="shared" si="3"/>
        <v>154.75</v>
      </c>
      <c r="L13" s="15">
        <f t="shared" si="3"/>
        <v>0.22107142857142859</v>
      </c>
      <c r="M13" s="16"/>
    </row>
    <row r="14" spans="1:13" ht="15" thickTop="1"/>
  </sheetData>
  <mergeCells count="3">
    <mergeCell ref="A1:M1"/>
    <mergeCell ref="A2:M2"/>
    <mergeCell ref="A13:B13"/>
  </mergeCells>
  <conditionalFormatting sqref="A5:I12 K5:M12">
    <cfRule type="cellIs" dxfId="3" priority="2" operator="equal">
      <formula>1</formula>
    </cfRule>
  </conditionalFormatting>
  <conditionalFormatting sqref="J5:J12">
    <cfRule type="cellIs" dxfId="1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2026-10-28T06:57:40Z</dcterms:modified>
</cp:coreProperties>
</file>