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13" i="1" l="1"/>
  <c r="J13" i="1"/>
  <c r="I13" i="1"/>
  <c r="H13" i="1"/>
  <c r="G13" i="1"/>
  <c r="F13" i="1"/>
  <c r="E13" i="1"/>
  <c r="D13" i="1"/>
  <c r="C13" i="1"/>
  <c r="L12" i="1"/>
  <c r="N12" i="1" s="1"/>
  <c r="L11" i="1"/>
  <c r="N11" i="1" s="1"/>
  <c r="M10" i="1"/>
  <c r="L10" i="1"/>
  <c r="N10" i="1" s="1"/>
  <c r="L9" i="1"/>
  <c r="N9" i="1" s="1"/>
  <c r="N8" i="1"/>
  <c r="M8" i="1"/>
  <c r="L8" i="1"/>
  <c r="L7" i="1"/>
  <c r="M7" i="1" s="1"/>
  <c r="L6" i="1"/>
  <c r="N6" i="1" s="1"/>
  <c r="N5" i="1"/>
  <c r="L5" i="1"/>
  <c r="L13" i="1" s="1"/>
  <c r="M11" i="1" l="1"/>
  <c r="M6" i="1"/>
  <c r="M9" i="1"/>
  <c r="M12" i="1"/>
  <c r="N7" i="1"/>
  <c r="M5" i="1"/>
  <c r="M13" i="1" s="1"/>
</calcChain>
</file>

<file path=xl/sharedStrings.xml><?xml version="1.0" encoding="utf-8"?>
<sst xmlns="http://schemas.openxmlformats.org/spreadsheetml/2006/main" count="33" uniqueCount="33">
  <si>
    <t>SPM SMART SCHOOL</t>
  </si>
  <si>
    <t>Roll No</t>
  </si>
  <si>
    <t>Student Name</t>
  </si>
  <si>
    <t>English</t>
  </si>
  <si>
    <t>Maths</t>
  </si>
  <si>
    <t>Science</t>
  </si>
  <si>
    <t>Computer</t>
  </si>
  <si>
    <t>Grammar</t>
  </si>
  <si>
    <t>GK</t>
  </si>
  <si>
    <t>Total Marks</t>
  </si>
  <si>
    <t>%age</t>
  </si>
  <si>
    <t>Rank</t>
  </si>
  <si>
    <t>1</t>
  </si>
  <si>
    <t>2</t>
  </si>
  <si>
    <t>3</t>
  </si>
  <si>
    <t>4</t>
  </si>
  <si>
    <t>5</t>
  </si>
  <si>
    <t>6</t>
  </si>
  <si>
    <t>7</t>
  </si>
  <si>
    <t>8</t>
  </si>
  <si>
    <t>Class Average</t>
  </si>
  <si>
    <t>HALF YEARLY EXAMINATION - ACADEMIC SESSION 2026-27 | CLASS: CLASS IV</t>
  </si>
  <si>
    <t>Hindi</t>
  </si>
  <si>
    <t>Drawing</t>
  </si>
  <si>
    <t>Dictation</t>
  </si>
  <si>
    <t>Doli Bora</t>
  </si>
  <si>
    <t>Jayaita Bora</t>
  </si>
  <si>
    <t>Prem Sagar</t>
  </si>
  <si>
    <t>Protyukh Jyoti Gogoi</t>
  </si>
  <si>
    <t>Dabika Saikia</t>
  </si>
  <si>
    <t>Alfaz Rahman</t>
  </si>
  <si>
    <t>Sakibul Hussain</t>
  </si>
  <si>
    <t>Bikram Swargiary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</si>
</sst>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1"/>
      <color rgb="FF4B5563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8EEF5"/>
        <bgColor rgb="FFE8EEF5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medium">
        <color rgb="FF1B365D"/>
      </top>
      <bottom style="medium">
        <color rgb="FF1B365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4" borderId="2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165" fontId="5" fillId="5" borderId="3" xfId="0" applyNumberFormat="1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right" vertical="center"/>
    </xf>
    <xf numFmtId="164" fontId="5" fillId="5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/>
  </cellXfs>
  <cellStyles count="1">
    <cellStyle name="Normal" xfId="0" builtinId="0"/>
  </cellStyles>
  <dxfs count="5"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sqref="A1:XFD1048576"/>
    </sheetView>
  </sheetViews>
  <sheetFormatPr defaultRowHeight="14.4"/>
  <cols>
    <col min="1" max="1" width="7.21875" style="1" bestFit="1" customWidth="1"/>
    <col min="2" max="2" width="18.21875" style="1" bestFit="1" customWidth="1"/>
    <col min="3" max="3" width="7.6640625" style="1" bestFit="1" customWidth="1"/>
    <col min="4" max="4" width="6.33203125" style="1" bestFit="1" customWidth="1"/>
    <col min="5" max="5" width="7.33203125" style="1" bestFit="1" customWidth="1"/>
    <col min="6" max="6" width="7.6640625" style="1" bestFit="1" customWidth="1"/>
    <col min="7" max="7" width="9.44140625" style="1" bestFit="1" customWidth="1"/>
    <col min="8" max="8" width="9.109375" style="1" bestFit="1" customWidth="1"/>
    <col min="9" max="9" width="7.6640625" style="1" bestFit="1" customWidth="1"/>
    <col min="10" max="10" width="8.109375" style="1" bestFit="1" customWidth="1"/>
    <col min="11" max="11" width="8.6640625" style="1" bestFit="1" customWidth="1"/>
    <col min="12" max="12" width="11.109375" style="1" bestFit="1" customWidth="1"/>
    <col min="13" max="13" width="6.109375" style="1" bestFit="1" customWidth="1"/>
    <col min="14" max="14" width="5.21875" style="1" bestFit="1" customWidth="1"/>
    <col min="15" max="16384" width="8.88671875" style="1"/>
  </cols>
  <sheetData>
    <row r="1" spans="1:14" ht="2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9" t="s">
        <v>21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thickBot="1"/>
    <row r="4" spans="1:14" ht="15" thickBo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22</v>
      </c>
      <c r="G4" s="2" t="s">
        <v>6</v>
      </c>
      <c r="H4" s="2" t="s">
        <v>7</v>
      </c>
      <c r="I4" s="2" t="s">
        <v>8</v>
      </c>
      <c r="J4" s="2" t="s">
        <v>23</v>
      </c>
      <c r="K4" s="2" t="s">
        <v>24</v>
      </c>
      <c r="L4" s="2" t="s">
        <v>9</v>
      </c>
      <c r="M4" s="2" t="s">
        <v>10</v>
      </c>
      <c r="N4" s="2" t="s">
        <v>11</v>
      </c>
    </row>
    <row r="5" spans="1:14">
      <c r="A5" s="3" t="s">
        <v>12</v>
      </c>
      <c r="B5" s="4" t="s">
        <v>25</v>
      </c>
      <c r="C5" s="5"/>
      <c r="D5" s="5">
        <v>92</v>
      </c>
      <c r="E5" s="5"/>
      <c r="F5" s="5"/>
      <c r="G5" s="5">
        <v>70</v>
      </c>
      <c r="H5" s="5">
        <v>33</v>
      </c>
      <c r="I5" s="5"/>
      <c r="J5" s="5"/>
      <c r="K5" s="5"/>
      <c r="L5" s="6">
        <f t="shared" ref="L5:L12" si="0">SUM(C5:K5)</f>
        <v>195</v>
      </c>
      <c r="M5" s="7">
        <f t="shared" ref="M5:M12" si="1">L5/700</f>
        <v>0.27857142857142858</v>
      </c>
      <c r="N5" s="5">
        <f t="shared" ref="N5:N12" si="2">RANK(L5, $L$5:$L$12)</f>
        <v>2</v>
      </c>
    </row>
    <row r="6" spans="1:14">
      <c r="A6" s="8" t="s">
        <v>13</v>
      </c>
      <c r="B6" s="9" t="s">
        <v>26</v>
      </c>
      <c r="C6" s="10"/>
      <c r="D6" s="10">
        <v>77</v>
      </c>
      <c r="E6" s="10"/>
      <c r="F6" s="10"/>
      <c r="G6" s="10">
        <v>54</v>
      </c>
      <c r="H6" s="10">
        <v>48</v>
      </c>
      <c r="I6" s="10"/>
      <c r="J6" s="10"/>
      <c r="K6" s="10"/>
      <c r="L6" s="11">
        <f t="shared" si="0"/>
        <v>179</v>
      </c>
      <c r="M6" s="12">
        <f t="shared" si="1"/>
        <v>0.25571428571428573</v>
      </c>
      <c r="N6" s="10">
        <f t="shared" si="2"/>
        <v>3</v>
      </c>
    </row>
    <row r="7" spans="1:14">
      <c r="A7" s="3" t="s">
        <v>14</v>
      </c>
      <c r="B7" s="4" t="s">
        <v>27</v>
      </c>
      <c r="C7" s="5"/>
      <c r="D7" s="5">
        <v>83</v>
      </c>
      <c r="E7" s="5">
        <v>42</v>
      </c>
      <c r="F7" s="5"/>
      <c r="G7" s="5">
        <v>47</v>
      </c>
      <c r="H7" s="5">
        <v>26</v>
      </c>
      <c r="I7" s="5"/>
      <c r="J7" s="5"/>
      <c r="K7" s="5"/>
      <c r="L7" s="6">
        <f t="shared" si="0"/>
        <v>198</v>
      </c>
      <c r="M7" s="7">
        <f t="shared" si="1"/>
        <v>0.28285714285714286</v>
      </c>
      <c r="N7" s="5">
        <f t="shared" si="2"/>
        <v>1</v>
      </c>
    </row>
    <row r="8" spans="1:14">
      <c r="A8" s="8" t="s">
        <v>15</v>
      </c>
      <c r="B8" s="9" t="s">
        <v>28</v>
      </c>
      <c r="C8" s="10"/>
      <c r="D8" s="10">
        <v>60</v>
      </c>
      <c r="E8" s="10"/>
      <c r="F8" s="10"/>
      <c r="G8" s="10">
        <v>40</v>
      </c>
      <c r="H8" s="10">
        <v>17</v>
      </c>
      <c r="I8" s="10"/>
      <c r="J8" s="10"/>
      <c r="K8" s="10"/>
      <c r="L8" s="11">
        <f t="shared" si="0"/>
        <v>117</v>
      </c>
      <c r="M8" s="12">
        <f t="shared" si="1"/>
        <v>0.16714285714285715</v>
      </c>
      <c r="N8" s="10">
        <f t="shared" si="2"/>
        <v>7</v>
      </c>
    </row>
    <row r="9" spans="1:14">
      <c r="A9" s="3" t="s">
        <v>16</v>
      </c>
      <c r="B9" s="4" t="s">
        <v>29</v>
      </c>
      <c r="C9" s="5"/>
      <c r="D9" s="5">
        <v>76</v>
      </c>
      <c r="E9" s="5"/>
      <c r="F9" s="5"/>
      <c r="G9" s="5">
        <v>50</v>
      </c>
      <c r="H9" s="5">
        <v>28</v>
      </c>
      <c r="I9" s="5"/>
      <c r="J9" s="5"/>
      <c r="K9" s="5"/>
      <c r="L9" s="6">
        <f t="shared" si="0"/>
        <v>154</v>
      </c>
      <c r="M9" s="7">
        <f t="shared" si="1"/>
        <v>0.22</v>
      </c>
      <c r="N9" s="5">
        <f t="shared" si="2"/>
        <v>5</v>
      </c>
    </row>
    <row r="10" spans="1:14">
      <c r="A10" s="8" t="s">
        <v>17</v>
      </c>
      <c r="B10" s="9" t="s">
        <v>30</v>
      </c>
      <c r="C10" s="10"/>
      <c r="D10" s="10">
        <v>66</v>
      </c>
      <c r="E10" s="10"/>
      <c r="F10" s="10"/>
      <c r="G10" s="10">
        <v>56</v>
      </c>
      <c r="H10" s="10">
        <v>27</v>
      </c>
      <c r="I10" s="10"/>
      <c r="J10" s="10"/>
      <c r="K10" s="10"/>
      <c r="L10" s="11">
        <f t="shared" si="0"/>
        <v>149</v>
      </c>
      <c r="M10" s="12">
        <f t="shared" si="1"/>
        <v>0.21285714285714286</v>
      </c>
      <c r="N10" s="10">
        <f t="shared" si="2"/>
        <v>6</v>
      </c>
    </row>
    <row r="11" spans="1:14">
      <c r="A11" s="3" t="s">
        <v>18</v>
      </c>
      <c r="B11" s="4" t="s">
        <v>31</v>
      </c>
      <c r="C11" s="5"/>
      <c r="D11" s="5">
        <v>75</v>
      </c>
      <c r="E11" s="5">
        <v>41</v>
      </c>
      <c r="F11" s="5"/>
      <c r="G11" s="5">
        <v>38</v>
      </c>
      <c r="H11" s="5">
        <v>14</v>
      </c>
      <c r="I11" s="5"/>
      <c r="J11" s="5"/>
      <c r="K11" s="5"/>
      <c r="L11" s="6">
        <f t="shared" si="0"/>
        <v>168</v>
      </c>
      <c r="M11" s="7">
        <f t="shared" si="1"/>
        <v>0.24</v>
      </c>
      <c r="N11" s="5">
        <f t="shared" si="2"/>
        <v>4</v>
      </c>
    </row>
    <row r="12" spans="1:14">
      <c r="A12" s="8" t="s">
        <v>19</v>
      </c>
      <c r="B12" s="9" t="s">
        <v>32</v>
      </c>
      <c r="C12" s="10"/>
      <c r="D12" s="10">
        <v>59</v>
      </c>
      <c r="E12" s="10"/>
      <c r="F12" s="10"/>
      <c r="G12" s="10">
        <v>35</v>
      </c>
      <c r="H12" s="10">
        <v>18</v>
      </c>
      <c r="I12" s="10"/>
      <c r="J12" s="10"/>
      <c r="K12" s="10"/>
      <c r="L12" s="11">
        <f t="shared" si="0"/>
        <v>112</v>
      </c>
      <c r="M12" s="12">
        <f t="shared" si="1"/>
        <v>0.16</v>
      </c>
      <c r="N12" s="10">
        <f t="shared" si="2"/>
        <v>8</v>
      </c>
    </row>
    <row r="13" spans="1:14" ht="15" thickBot="1">
      <c r="A13" s="20" t="s">
        <v>20</v>
      </c>
      <c r="B13" s="21"/>
      <c r="C13" s="13" t="e">
        <f t="shared" ref="C13:M13" si="3">AVERAGE(C5:C12)</f>
        <v>#DIV/0!</v>
      </c>
      <c r="D13" s="13">
        <f t="shared" si="3"/>
        <v>73.5</v>
      </c>
      <c r="E13" s="13">
        <f t="shared" si="3"/>
        <v>41.5</v>
      </c>
      <c r="F13" s="13" t="e">
        <f t="shared" si="3"/>
        <v>#DIV/0!</v>
      </c>
      <c r="G13" s="13">
        <f t="shared" si="3"/>
        <v>48.75</v>
      </c>
      <c r="H13" s="13">
        <f t="shared" si="3"/>
        <v>26.375</v>
      </c>
      <c r="I13" s="13" t="e">
        <f t="shared" si="3"/>
        <v>#DIV/0!</v>
      </c>
      <c r="J13" s="13" t="e">
        <f t="shared" si="3"/>
        <v>#DIV/0!</v>
      </c>
      <c r="K13" s="13" t="e">
        <f t="shared" si="3"/>
        <v>#DIV/0!</v>
      </c>
      <c r="L13" s="14">
        <f t="shared" si="3"/>
        <v>159</v>
      </c>
      <c r="M13" s="15">
        <f t="shared" si="3"/>
        <v>0.22714285714285715</v>
      </c>
      <c r="N13" s="16"/>
    </row>
    <row r="14" spans="1:14" ht="15" thickTop="1"/>
  </sheetData>
  <mergeCells count="3">
    <mergeCell ref="A1:N1"/>
    <mergeCell ref="A2:N2"/>
    <mergeCell ref="A13:B13"/>
  </mergeCells>
  <conditionalFormatting sqref="A5:G12 J5:N12">
    <cfRule type="cellIs" dxfId="3" priority="2" operator="equal">
      <formula>1</formula>
    </cfRule>
  </conditionalFormatting>
  <conditionalFormatting sqref="H5:I12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2026-10-28T06:57:26Z</dcterms:modified>
</cp:coreProperties>
</file>